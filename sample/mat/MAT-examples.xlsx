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2420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color rgb="FF000000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000000"/>
      <sz val="12"/>
    </font>
    <font>
      <name val="Arial"/>
      <i val="1"/>
      <color rgb="FF000000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1" fontId="1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1" fillId="0" borderId="0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/>
    </xf>
    <xf numFmtId="49" fontId="1" fillId="0" borderId="1" pivotButton="0" quotePrefix="0" xfId="0"/>
    <xf numFmtId="164" fontId="1" fillId="0" borderId="1" applyAlignment="1" pivotButton="0" quotePrefix="0" xfId="0">
      <alignment horizontal="center"/>
    </xf>
    <xf numFmtId="49" fontId="5" fillId="2" borderId="1" applyAlignment="1" pivotButton="0" quotePrefix="0" xfId="0">
      <alignment horizontal="center"/>
    </xf>
    <xf numFmtId="49" fontId="5" fillId="2" borderId="1" pivotButton="0" quotePrefix="0" xfId="0"/>
    <xf numFmtId="49" fontId="1" fillId="2" borderId="1" applyAlignment="1" pivotButton="0" quotePrefix="0" xfId="0">
      <alignment horizontal="center"/>
    </xf>
    <xf numFmtId="49" fontId="1" fillId="2" borderId="1" pivotButton="0" quotePrefix="0" xfId="0"/>
    <xf numFmtId="1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 wrapText="1"/>
    </xf>
    <xf numFmtId="1" fontId="1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tabSelected="1" topLeftCell="A4" workbookViewId="0">
      <selection activeCell="J13" sqref="J13"/>
    </sheetView>
  </sheetViews>
  <sheetFormatPr baseColWidth="8" defaultRowHeight="14.5"/>
  <cols>
    <col width="5.7265625" customWidth="1" style="4" min="1" max="1"/>
    <col width="9.7265625" customWidth="1" style="4" min="2" max="2"/>
    <col width="22.7265625" customWidth="1" style="4" min="3" max="3"/>
    <col width="10.7265625" customWidth="1" style="4" min="4" max="4"/>
    <col width="19.7265625" customWidth="1" style="4" min="5" max="5"/>
    <col width="5.7265625" customWidth="1" style="4" min="6" max="9"/>
  </cols>
  <sheetData>
    <row r="1">
      <c r="A1" s="28" t="inlineStr">
        <is>
          <t>ĐẠI HỌC QUỐC GIA HÀ NỘI</t>
        </is>
      </c>
      <c r="D1" s="24" t="n"/>
      <c r="E1" s="24" t="n"/>
      <c r="F1" s="25" t="n"/>
      <c r="G1" s="25" t="n"/>
      <c r="H1" s="25" t="n"/>
      <c r="I1" s="25" t="n"/>
    </row>
    <row r="2">
      <c r="A2" s="17" t="inlineStr">
        <is>
          <t>TRƯỜNG ĐẠI HỌC KHOA HỌC TỰ NHIÊN</t>
        </is>
      </c>
      <c r="D2" s="24" t="n"/>
      <c r="E2" s="24" t="n"/>
      <c r="F2" s="25" t="n"/>
      <c r="G2" s="25" t="n"/>
      <c r="H2" s="25" t="n"/>
      <c r="I2" s="25" t="n"/>
    </row>
    <row r="3">
      <c r="A3" s="23" t="n"/>
      <c r="B3" s="24" t="n"/>
      <c r="C3" s="24" t="n"/>
      <c r="D3" s="24" t="n"/>
      <c r="E3" s="24" t="n"/>
      <c r="F3" s="25" t="n"/>
      <c r="G3" s="25" t="n"/>
      <c r="H3" s="25" t="n"/>
      <c r="I3" s="25" t="n"/>
    </row>
    <row r="4" ht="15.5" customHeight="1" s="30">
      <c r="A4" s="29" t="inlineStr">
        <is>
          <t>BẢNG ĐIỂM ĐÁNH GIÁ HỌC PHẦN</t>
        </is>
      </c>
    </row>
    <row r="5">
      <c r="A5" s="28" t="inlineStr">
        <is>
          <t>Học kỳ X năm học YYYY-YYYY</t>
        </is>
      </c>
    </row>
    <row r="6">
      <c r="A6" s="23" t="n"/>
      <c r="B6" s="24" t="n"/>
      <c r="C6" s="24" t="n"/>
      <c r="D6" s="24" t="n"/>
      <c r="E6" s="24" t="n"/>
      <c r="F6" s="25" t="n"/>
      <c r="G6" s="25" t="n"/>
      <c r="H6" s="25" t="n"/>
      <c r="I6" s="25" t="n"/>
    </row>
    <row r="7">
      <c r="A7" s="23" t="inlineStr">
        <is>
          <t>Giảng viên:</t>
        </is>
      </c>
      <c r="C7" s="24" t="inlineStr">
        <is>
          <t>Giảng viên A</t>
        </is>
      </c>
      <c r="D7" s="24" t="n"/>
      <c r="E7" s="24" t="n"/>
      <c r="F7" s="25" t="inlineStr">
        <is>
          <t>Trọng số điểm CC:</t>
        </is>
      </c>
      <c r="I7" s="5" t="n">
        <v>0.2</v>
      </c>
    </row>
    <row r="8">
      <c r="A8" s="23" t="inlineStr">
        <is>
          <t>Lớp HP:</t>
        </is>
      </c>
      <c r="C8" s="24" t="inlineStr">
        <is>
          <t>COURSE-CLASS</t>
        </is>
      </c>
      <c r="D8" s="24" t="n"/>
      <c r="E8" s="24" t="n"/>
      <c r="F8" s="25" t="inlineStr">
        <is>
          <t>Trọng số điểm GK:</t>
        </is>
      </c>
      <c r="I8" s="5" t="n">
        <v>0.2</v>
      </c>
    </row>
    <row r="9">
      <c r="A9" s="23" t="inlineStr">
        <is>
          <t>Tên HP:</t>
        </is>
      </c>
      <c r="C9" s="24" t="inlineStr">
        <is>
          <t>Tên học phần (X TC)</t>
        </is>
      </c>
      <c r="F9" s="25" t="inlineStr">
        <is>
          <t>Trọng số điểm CK:</t>
        </is>
      </c>
      <c r="I9" s="5" t="n">
        <v>0.6</v>
      </c>
    </row>
    <row r="10">
      <c r="A10" s="26" t="inlineStr">
        <is>
          <t>STT</t>
        </is>
      </c>
      <c r="B10" s="27" t="inlineStr">
        <is>
          <t>Mã SV</t>
        </is>
      </c>
      <c r="C10" s="27" t="inlineStr">
        <is>
          <t>Họ và tên</t>
        </is>
      </c>
      <c r="D10" s="27" t="inlineStr">
        <is>
          <t>Ngày sinh</t>
        </is>
      </c>
      <c r="E10" s="27" t="inlineStr">
        <is>
          <t>Lớp</t>
        </is>
      </c>
      <c r="F10" s="22" t="inlineStr">
        <is>
          <t>Điểm học phần</t>
        </is>
      </c>
      <c r="G10" s="31" t="n"/>
      <c r="H10" s="32" t="n"/>
      <c r="I10" s="22" t="inlineStr">
        <is>
          <t>Tổng điểm</t>
        </is>
      </c>
    </row>
    <row r="11">
      <c r="A11" s="33" t="n"/>
      <c r="B11" s="33" t="n"/>
      <c r="C11" s="33" t="n"/>
      <c r="D11" s="33" t="n"/>
      <c r="E11" s="33" t="n"/>
      <c r="F11" s="22" t="inlineStr">
        <is>
          <t>CC</t>
        </is>
      </c>
      <c r="G11" s="22" t="inlineStr">
        <is>
          <t>GK</t>
        </is>
      </c>
      <c r="H11" s="22" t="inlineStr">
        <is>
          <t>CK</t>
        </is>
      </c>
      <c r="I11" s="33" t="n"/>
    </row>
    <row r="12">
      <c r="A12" s="6" t="n">
        <v>1</v>
      </c>
      <c r="B12" s="8" t="inlineStr">
        <is>
          <t>ID001</t>
        </is>
      </c>
      <c r="C12" s="9" t="inlineStr">
        <is>
          <t>Student 001</t>
        </is>
      </c>
      <c r="D12" s="8" t="inlineStr">
        <is>
          <t>01/01/2000</t>
        </is>
      </c>
      <c r="E12" s="9" t="inlineStr">
        <is>
          <t>Class 01</t>
        </is>
      </c>
      <c r="F12" s="10" t="n">
        <v>5.3</v>
      </c>
      <c r="G12" s="10" t="n">
        <v>4.4</v>
      </c>
      <c r="H12" s="10" t="n">
        <v>6.2</v>
      </c>
      <c r="I12" s="10">
        <f>ROUND((F12*$I$7 + G12*$I$8) / ($I$7+$I$8), 1)*($I$7+$I$8) + H12*$I$9</f>
        <v/>
      </c>
    </row>
    <row r="13">
      <c r="A13" s="15" t="n">
        <v>2</v>
      </c>
      <c r="B13" s="11" t="inlineStr">
        <is>
          <t>ID002</t>
        </is>
      </c>
      <c r="C13" s="12" t="inlineStr">
        <is>
          <t>Student 002</t>
        </is>
      </c>
      <c r="D13" s="13" t="inlineStr">
        <is>
          <t>01/01/2000</t>
        </is>
      </c>
      <c r="E13" s="14" t="inlineStr">
        <is>
          <t>Class 02</t>
        </is>
      </c>
      <c r="F13" s="16" t="n">
        <v>5.6</v>
      </c>
      <c r="G13" s="16" t="n">
        <v>4.8</v>
      </c>
      <c r="H13" s="16" t="n">
        <v>6.4</v>
      </c>
      <c r="I13" s="16">
        <f>ROUND((F13*$I$7 + G13*$I$8) / ($I$7+$I$8), 1)*($I$7+$I$8) + H13*$I$9</f>
        <v/>
      </c>
    </row>
    <row r="14">
      <c r="A14" s="6" t="n">
        <v>3</v>
      </c>
      <c r="B14" s="8" t="inlineStr">
        <is>
          <t>ID003</t>
        </is>
      </c>
      <c r="C14" s="9" t="inlineStr">
        <is>
          <t>Student 003</t>
        </is>
      </c>
      <c r="D14" s="8" t="inlineStr">
        <is>
          <t>01/01/2000</t>
        </is>
      </c>
      <c r="E14" s="9" t="inlineStr">
        <is>
          <t>Class 03</t>
        </is>
      </c>
      <c r="F14" s="10" t="n">
        <v>5.9</v>
      </c>
      <c r="G14" s="10" t="n">
        <v>5.2</v>
      </c>
      <c r="H14" s="10" t="n">
        <v>6.6</v>
      </c>
      <c r="I14" s="10">
        <f>ROUND((F14*$I$7 + G14*$I$8) / ($I$7+$I$8), 1)*($I$7+$I$8) + H14*$I$9</f>
        <v/>
      </c>
    </row>
    <row r="15">
      <c r="A15" s="6" t="n">
        <v>4</v>
      </c>
      <c r="B15" s="8" t="inlineStr">
        <is>
          <t>ID004</t>
        </is>
      </c>
      <c r="C15" s="9" t="inlineStr">
        <is>
          <t>Student 004</t>
        </is>
      </c>
      <c r="D15" s="8" t="inlineStr">
        <is>
          <t>01/01/2000</t>
        </is>
      </c>
      <c r="E15" s="9" t="inlineStr">
        <is>
          <t>Class 04</t>
        </is>
      </c>
      <c r="F15" s="10" t="n">
        <v>6.2</v>
      </c>
      <c r="G15" s="10" t="n">
        <v>5.6</v>
      </c>
      <c r="H15" s="10" t="n">
        <v>6.8</v>
      </c>
      <c r="I15" s="10">
        <f>ROUND((F15*$I$7 + G15*$I$8) / ($I$7+$I$8), 1)*($I$7+$I$8) + H15*$I$9</f>
        <v/>
      </c>
    </row>
    <row r="16">
      <c r="A16" s="6" t="n">
        <v>5</v>
      </c>
      <c r="B16" s="8" t="inlineStr">
        <is>
          <t>ID005</t>
        </is>
      </c>
      <c r="C16" s="9" t="inlineStr">
        <is>
          <t>Student 005</t>
        </is>
      </c>
      <c r="D16" s="8" t="inlineStr">
        <is>
          <t>01/01/2000</t>
        </is>
      </c>
      <c r="E16" s="9" t="inlineStr">
        <is>
          <t>Class 05</t>
        </is>
      </c>
      <c r="F16" s="10" t="n">
        <v>6.5</v>
      </c>
      <c r="G16" s="10" t="n">
        <v>6</v>
      </c>
      <c r="H16" s="10" t="n">
        <v>7</v>
      </c>
      <c r="I16" s="10">
        <f>ROUND((F16*$I$7 + G16*$I$8) / ($I$7+$I$8), 1)*($I$7+$I$8) + H16*$I$9</f>
        <v/>
      </c>
    </row>
    <row r="17">
      <c r="A17" s="6" t="n">
        <v>6</v>
      </c>
      <c r="B17" s="8" t="inlineStr">
        <is>
          <t>ID006</t>
        </is>
      </c>
      <c r="C17" s="9" t="inlineStr">
        <is>
          <t>Student 006</t>
        </is>
      </c>
      <c r="D17" s="8" t="inlineStr">
        <is>
          <t>01/01/2000</t>
        </is>
      </c>
      <c r="E17" s="9" t="inlineStr">
        <is>
          <t>Class 06</t>
        </is>
      </c>
      <c r="F17" s="10" t="n">
        <v>6.8</v>
      </c>
      <c r="G17" s="10" t="n">
        <v>6.4</v>
      </c>
      <c r="H17" s="10" t="n">
        <v>7.2</v>
      </c>
      <c r="I17" s="10">
        <f>ROUND((F17*$I$7 + G17*$I$8) / ($I$7+$I$8), 1)*($I$7+$I$8) + H17*$I$9</f>
        <v/>
      </c>
    </row>
    <row r="18">
      <c r="A18" s="6" t="n">
        <v>7</v>
      </c>
      <c r="B18" s="8" t="inlineStr">
        <is>
          <t>ID007</t>
        </is>
      </c>
      <c r="C18" s="9" t="inlineStr">
        <is>
          <t>Student 007</t>
        </is>
      </c>
      <c r="D18" s="8" t="inlineStr">
        <is>
          <t>01/01/2000</t>
        </is>
      </c>
      <c r="E18" s="9" t="inlineStr">
        <is>
          <t>Class 07</t>
        </is>
      </c>
      <c r="F18" s="10" t="n">
        <v>7.1</v>
      </c>
      <c r="G18" s="10" t="n">
        <v>6.8</v>
      </c>
      <c r="H18" s="10" t="n">
        <v>7.4</v>
      </c>
      <c r="I18" s="10">
        <f>ROUND((F18*$I$7 + G18*$I$8) / ($I$7+$I$8), 1)*($I$7+$I$8) + H18*$I$9</f>
        <v/>
      </c>
    </row>
    <row r="19">
      <c r="A19" s="6" t="n">
        <v>8</v>
      </c>
      <c r="B19" s="8" t="inlineStr">
        <is>
          <t>ID008</t>
        </is>
      </c>
      <c r="C19" s="9" t="inlineStr">
        <is>
          <t>Student 008</t>
        </is>
      </c>
      <c r="D19" s="8" t="inlineStr">
        <is>
          <t>01/01/2000</t>
        </is>
      </c>
      <c r="E19" s="9" t="inlineStr">
        <is>
          <t>Class 08</t>
        </is>
      </c>
      <c r="F19" s="10" t="n">
        <v>7.4</v>
      </c>
      <c r="G19" s="10" t="n">
        <v>7.2</v>
      </c>
      <c r="H19" s="10" t="n">
        <v>7.6</v>
      </c>
      <c r="I19" s="10">
        <f>ROUND((F19*$I$7 + G19*$I$8) / ($I$7+$I$8), 1)*($I$7+$I$8) + H19*$I$9</f>
        <v/>
      </c>
    </row>
    <row r="20">
      <c r="A20" s="6" t="n">
        <v>9</v>
      </c>
      <c r="B20" s="8" t="inlineStr">
        <is>
          <t>ID009</t>
        </is>
      </c>
      <c r="C20" s="9" t="inlineStr">
        <is>
          <t>Student 009</t>
        </is>
      </c>
      <c r="D20" s="8" t="inlineStr">
        <is>
          <t>01/01/2000</t>
        </is>
      </c>
      <c r="E20" s="9" t="inlineStr">
        <is>
          <t>Class 09</t>
        </is>
      </c>
      <c r="F20" s="10" t="n">
        <v>7.7</v>
      </c>
      <c r="G20" s="10" t="n">
        <v>7.6</v>
      </c>
      <c r="H20" s="10" t="n">
        <v>7.8</v>
      </c>
      <c r="I20" s="10">
        <f>ROUND((F20*$I$7 + G20*$I$8) / ($I$7+$I$8), 1)*($I$7+$I$8) + H20*$I$9</f>
        <v/>
      </c>
    </row>
    <row r="21">
      <c r="A21" s="6" t="n">
        <v>10</v>
      </c>
      <c r="B21" s="8" t="inlineStr">
        <is>
          <t>ID010</t>
        </is>
      </c>
      <c r="C21" s="9" t="inlineStr">
        <is>
          <t>Student 010</t>
        </is>
      </c>
      <c r="D21" s="8" t="inlineStr">
        <is>
          <t>01/01/2000</t>
        </is>
      </c>
      <c r="E21" s="9" t="inlineStr">
        <is>
          <t>Class 10</t>
        </is>
      </c>
      <c r="F21" s="10" t="n">
        <v>8</v>
      </c>
      <c r="G21" s="10" t="n">
        <v>8</v>
      </c>
      <c r="H21" s="10" t="n">
        <v>8</v>
      </c>
      <c r="I21" s="10">
        <f>ROUND((F21*$I$7 + G21*$I$8) / ($I$7+$I$8), 1)*($I$7+$I$8) + H21*$I$9</f>
        <v/>
      </c>
    </row>
    <row r="22">
      <c r="A22" s="23" t="inlineStr">
        <is>
          <t>Tổng số sinh viên: 10 sinh viên</t>
        </is>
      </c>
    </row>
    <row r="23">
      <c r="A23" s="23" t="n"/>
      <c r="B23" s="24" t="n"/>
      <c r="C23" s="24" t="n"/>
      <c r="D23" s="24" t="n"/>
      <c r="E23" s="24" t="n"/>
      <c r="F23" s="25" t="n"/>
      <c r="G23" s="25" t="n"/>
      <c r="H23" s="25" t="n"/>
      <c r="I23" s="25" t="n"/>
    </row>
    <row r="24">
      <c r="A24" s="20" t="inlineStr">
        <is>
          <t>Ngày 19 tháng 10 năm 2025</t>
        </is>
      </c>
      <c r="D24" s="18" t="inlineStr">
        <is>
          <t>TL.HIỆU TRƯỞNG</t>
        </is>
      </c>
    </row>
    <row r="25">
      <c r="A25" s="17" t="inlineStr">
        <is>
          <t>Giảng viên nộp điểm</t>
        </is>
      </c>
      <c r="D25" s="18" t="inlineStr">
        <is>
          <t>TRƯỞNG PHÒNG ĐÀO TẠO</t>
        </is>
      </c>
    </row>
    <row r="26">
      <c r="A26" s="20" t="inlineStr">
        <is>
          <t>(ký và ghi rõ họ tên)</t>
        </is>
      </c>
      <c r="D26" s="18" t="n"/>
    </row>
    <row r="27">
      <c r="A27" s="23" t="n"/>
      <c r="B27" s="24" t="n"/>
      <c r="C27" s="24" t="n"/>
      <c r="D27" s="24" t="n"/>
      <c r="E27" s="24" t="n"/>
      <c r="F27" s="25" t="n"/>
      <c r="G27" s="25" t="n"/>
      <c r="H27" s="25" t="n"/>
      <c r="I27" s="25" t="n"/>
    </row>
    <row r="28">
      <c r="A28" s="23" t="n"/>
      <c r="B28" s="24" t="n"/>
      <c r="C28" s="24" t="n"/>
      <c r="D28" s="24" t="n"/>
      <c r="E28" s="24" t="n"/>
      <c r="F28" s="25" t="n"/>
      <c r="G28" s="25" t="n"/>
      <c r="H28" s="25" t="n"/>
      <c r="I28" s="25" t="n"/>
    </row>
    <row r="29">
      <c r="A29" s="23" t="n"/>
      <c r="B29" s="24" t="n"/>
      <c r="C29" s="24" t="n"/>
      <c r="D29" s="24" t="n"/>
      <c r="E29" s="24" t="n"/>
      <c r="F29" s="25" t="n"/>
      <c r="G29" s="25" t="n"/>
      <c r="H29" s="25" t="n"/>
      <c r="I29" s="25" t="n"/>
    </row>
    <row r="30">
      <c r="A30" s="23" t="n"/>
      <c r="B30" s="24" t="n"/>
      <c r="C30" s="24" t="n"/>
      <c r="D30" s="24" t="n"/>
      <c r="E30" s="24" t="n"/>
      <c r="F30" s="25" t="n"/>
      <c r="G30" s="25" t="n"/>
      <c r="H30" s="25" t="n"/>
      <c r="I30" s="25" t="n"/>
    </row>
    <row r="31">
      <c r="A31" s="23" t="n"/>
      <c r="B31" s="24" t="n"/>
      <c r="C31" s="24" t="n"/>
      <c r="D31" s="24" t="n"/>
      <c r="E31" s="24" t="n"/>
      <c r="F31" s="25" t="n"/>
      <c r="G31" s="25" t="n"/>
      <c r="H31" s="25" t="n"/>
      <c r="I31" s="25" t="n"/>
    </row>
    <row r="32">
      <c r="A32" s="23" t="n"/>
      <c r="B32" s="24" t="n"/>
      <c r="C32" s="24" t="n"/>
      <c r="D32" s="24" t="n"/>
      <c r="E32" s="24" t="n"/>
      <c r="F32" s="25" t="n"/>
      <c r="G32" s="25" t="n"/>
      <c r="H32" s="25" t="n"/>
      <c r="I32" s="25" t="n"/>
    </row>
    <row r="33">
      <c r="A33" s="17" t="inlineStr">
        <is>
          <t>Giảng viên A</t>
        </is>
      </c>
      <c r="D33" s="18" t="inlineStr">
        <is>
          <t>Trưởng phòng B</t>
        </is>
      </c>
    </row>
    <row r="79"/>
    <row r="81"/>
    <row r="82"/>
    <row r="83"/>
    <row r="90"/>
  </sheetData>
  <mergeCells count="27">
    <mergeCell ref="A90:C90"/>
    <mergeCell ref="C9:E9"/>
    <mergeCell ref="F8:H8"/>
    <mergeCell ref="C10:C11"/>
    <mergeCell ref="E10:E11"/>
    <mergeCell ref="A2:C2"/>
    <mergeCell ref="A7:B7"/>
    <mergeCell ref="A5:I5"/>
    <mergeCell ref="F9:H9"/>
    <mergeCell ref="D83:I83"/>
    <mergeCell ref="B10:B11"/>
    <mergeCell ref="A4:I4"/>
    <mergeCell ref="A81:C81"/>
    <mergeCell ref="D82:I82"/>
    <mergeCell ref="A83:C83"/>
    <mergeCell ref="A10:A11"/>
    <mergeCell ref="A8:B8"/>
    <mergeCell ref="I10:I11"/>
    <mergeCell ref="A82:C82"/>
    <mergeCell ref="F10:H10"/>
    <mergeCell ref="D81:I81"/>
    <mergeCell ref="D10:D11"/>
    <mergeCell ref="A1:C1"/>
    <mergeCell ref="D90:I90"/>
    <mergeCell ref="A79:I79"/>
    <mergeCell ref="F7:H7"/>
    <mergeCell ref="A9:B9"/>
  </mergeCells>
  <printOptions horizontalCentered="1"/>
  <pageMargins left="0.2" right="0.2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2025-10-19T13:35:09Z</dcterms:created>
  <dcterms:modified xmlns:dcterms="http://purl.org/dc/terms/" xmlns:xsi="http://www.w3.org/2001/XMLSchema-instance" xsi:type="dcterms:W3CDTF">2025-12-26T10:34:56Z</dcterms:modified>
  <cp:lastModifiedBy>Duc A. Hoang</cp:lastModifiedBy>
</cp:coreProperties>
</file>